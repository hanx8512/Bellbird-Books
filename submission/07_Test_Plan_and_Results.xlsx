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b0f1798a3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73571247eb461d"/>
    <x:sheet xmlns:r="http://schemas.openxmlformats.org/officeDocument/2006/relationships" name="Test Scenarios" sheetId="2" r:id="Rca57da15057340fc"/>
    <x:sheet xmlns:r="http://schemas.openxmlformats.org/officeDocument/2006/relationships" name="Test Cases" sheetId="3" r:id="Rbfcdef2ba5024686"/>
    <x:sheet xmlns:r="http://schemas.openxmlformats.org/officeDocument/2006/relationships" name="Traceability" sheetId="4" r:id="R09732e0608964a56"/>
    <x:sheet xmlns:r="http://schemas.openxmlformats.org/officeDocument/2006/relationships" name="Defects" sheetId="5" r:id="Rbd35ba16e168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1D2927"/>
      <x:name val="Arial"/>
    </x:font>
    <x:font>
      <x:i/>
      <x:sz val="10"/>
      <x:color rgb="FF5D6B68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9"/>
      <x:color rgb="FFFFFFFF"/>
      <x:name val="Arial"/>
    </x:font>
    <x:font>
      <x:sz val="9"/>
      <x:color rgb="FF1D2927"/>
      <x:name val="Arial"/>
    </x:font>
    <x:font>
      <x:b/>
      <x:sz val="8"/>
      <x:color rgb="FFFFFFFF"/>
      <x:name val="Arial"/>
    </x:font>
    <x:font>
      <x:sz val="8"/>
      <x:color rgb="FF1D29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5F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  <x:color rgb="FF375623"/>
      </x:font>
      <x:fill>
        <x:patternFill patternType="solid">
          <x:bgColor rgb="FFE2EFD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EFD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EFDA"/>
        </x:patternFill>
      </x:fill>
    </x:dxf>
    <x:dxf>
      <x:font>
        <x:b/>
        <x:color rgb="FF375623"/>
      </x:font>
      <x:fill>
        <x:patternFill patternType="solid">
          <x:bgColor rgb="FFE2EFDA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a3237de8a407d" /><Relationship Type="http://schemas.openxmlformats.org/officeDocument/2006/relationships/theme" Target="/xl/theme/theme1.xml" Id="R645c352bdcdf4085" /><Relationship Type="http://schemas.openxmlformats.org/officeDocument/2006/relationships/sharedStrings" Target="/xl/sharedStrings.xml" Id="R73e0b5a6f35c45c2" /><Relationship Type="http://schemas.openxmlformats.org/officeDocument/2006/relationships/worksheet" Target="/xl/worksheets/sheet1.xml" Id="Ra773571247eb461d" /><Relationship Type="http://schemas.openxmlformats.org/officeDocument/2006/relationships/worksheet" Target="/xl/worksheets/sheet2.xml" Id="Rca57da15057340fc" /><Relationship Type="http://schemas.openxmlformats.org/officeDocument/2006/relationships/worksheet" Target="/xl/worksheets/sheet3.xml" Id="Rbfcdef2ba5024686" /><Relationship Type="http://schemas.openxmlformats.org/officeDocument/2006/relationships/worksheet" Target="/xl/worksheets/sheet4.xml" Id="R09732e0608964a56" /><Relationship Type="http://schemas.openxmlformats.org/officeDocument/2006/relationships/worksheet" Target="/xl/worksheets/sheet5.xml" Id="Rbd35ba16e168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48" hidden="0" customWidth="1"/>
  </x:cols>
  <x:sheetData>
    <x:row r="1" ht="28" customHeight="1">
      <x:c r="A1" s="1" t="str">
        <x:v>BB-IMS Test Plan and Results</x:v>
      </x:c>
    </x:row>
    <x:row r="2" ht="20" customHeight="1">
      <x:c r="A2" s="2" t="str">
        <x:v>Group T23 | ISYS3001 A3 | Prepared 17 October 2026</x:v>
      </x:c>
    </x:row>
    <x:row r="4">
      <x:c r="A4" s="6" t="str">
        <x:v>Metric</x:v>
      </x:c>
      <x:c r="B4" s="6" t="str">
        <x:v>Value</x:v>
      </x:c>
      <x:c r="C4" s="6" t="str">
        <x:v>Notes</x:v>
      </x:c>
    </x:row>
    <x:row r="5">
      <x:c r="A5" s="9" t="str">
        <x:v>Test scenarios</x:v>
      </x:c>
      <x:c r="B5" s="10" t="n">
        <x:f>COUNTA('Test Scenarios'!A5:A100)</x:f>
        <x:v>15</x:v>
      </x:c>
      <x:c r="C5" s="8" t="str">
        <x:v>See the Test Scenarios sheet</x:v>
      </x:c>
    </x:row>
    <x:row r="6">
      <x:c r="A6" s="9" t="str">
        <x:v>Test cases</x:v>
      </x:c>
      <x:c r="B6" s="10" t="n">
        <x:f>COUNTA('Test Cases'!A5:A100)</x:f>
        <x:v>24</x:v>
      </x:c>
      <x:c r="C6" s="8" t="str">
        <x:v>See the Test Cases sheet</x:v>
      </x:c>
    </x:row>
    <x:row r="7">
      <x:c r="A7" s="9" t="str">
        <x:v>Passed</x:v>
      </x:c>
      <x:c r="B7" s="10" t="n">
        <x:f>COUNTIF('Test Cases'!L5:L100,"Passed")+COUNTIF('Test Cases'!L5:L100,"Passed after fix")</x:f>
        <x:v>22</x:v>
      </x:c>
      <x:c r="C7" s="8" t="str">
        <x:v>Includes passed after fix</x:v>
      </x:c>
    </x:row>
    <x:row r="8">
      <x:c r="A8" s="9" t="str">
        <x:v>Not run</x:v>
      </x:c>
      <x:c r="B8" s="10" t="n">
        <x:f>COUNTIF('Test Cases'!L5:L100,"Not Run")+COUNTIF('Test Cases'!L5:L100,"Not Run (Stretch)")</x:f>
        <x:v>2</x:v>
      </x:c>
      <x:c r="C8" s="8" t="str">
        <x:v>Manual checks still open</x:v>
      </x:c>
    </x:row>
    <x:row r="9">
      <x:c r="A9" s="9" t="str">
        <x:v>Closed defects</x:v>
      </x:c>
      <x:c r="B9" s="10" t="n">
        <x:f>COUNTIF(Defects!J5:J100,"Closed")</x:f>
        <x:v>1</x:v>
      </x:c>
      <x:c r="C9" s="8" t="str">
        <x:v>DEF-01 fixed and retested</x:v>
      </x:c>
    </x:row>
    <x:row r="10">
      <x:c r="A10" s="9" t="str">
        <x:v>Open defects</x:v>
      </x:c>
      <x:c r="B10" s="10" t="n">
        <x:f>COUNTIF(Defects!J5:J100,"Open")</x:f>
        <x:v>0</x:v>
      </x:c>
      <x:c r="C10" s="8" t="str">
        <x:v>Target is zero P0/P1</x:v>
      </x:c>
    </x:row>
    <x:row r="11">
      <x:c r="A11" s="9" t="str">
        <x:v>Release</x:v>
      </x:c>
      <x:c r="B11" s="10" t="str">
        <x:v>v0.2.0</x:v>
      </x:c>
      <x:c r="C11" s="8" t="str">
        <x:v>Release candidate</x:v>
      </x:c>
    </x:row>
    <x:row r="12">
      <x:c r="A12" s="9" t="str">
        <x:v>Quality gate</x:v>
      </x:c>
      <x:c r="B12" s="10" t="str">
        <x:f>IF(AND(B7&gt;=8,B10=0),"Pass","Review")</x:f>
        <x:v>Pass</x:v>
      </x:c>
      <x:c r="C12" s="8" t="str">
        <x:v>Requires passed cases and no open defects</x:v>
      </x:c>
    </x:row>
    <x:row r="14">
      <x:c r="A14" s="11" t="str">
        <x:v>Story</x:v>
      </x:c>
      <x:c r="B14" s="11" t="str">
        <x:v>Test cases</x:v>
      </x:c>
      <x:c r="C14" s="11" t="str">
        <x:v>Coverage</x:v>
      </x:c>
    </x:row>
    <x:row r="15">
      <x:c r="A15" s="9" t="str">
        <x:v>US-BB-01</x:v>
      </x:c>
      <x:c r="B15" s="10" t="n">
        <x:f>COUNTIF('Test Cases'!$C$5:$C$100,A15)</x:f>
        <x:v>2</x:v>
      </x:c>
      <x:c r="C15" s="10" t="str">
        <x:f>IF(OR(A15="US-BB-05",A15="US-BB-08"),IF(B15&gt;=1,"Covered","Review"),IF(B15&gt;=2,"Covered","Review"))</x:f>
        <x:v>Covered</x:v>
      </x:c>
    </x:row>
    <x:row r="16">
      <x:c r="A16" s="9" t="str">
        <x:v>US-BB-02</x:v>
      </x:c>
      <x:c r="B16" s="10" t="n">
        <x:f>COUNTIF('Test Cases'!$C$5:$C$100,A16)</x:f>
        <x:v>2</x:v>
      </x:c>
      <x:c r="C16" s="10" t="str">
        <x:f>IF(OR(A16="US-BB-05",A16="US-BB-08"),IF(B16&gt;=1,"Covered","Review"),IF(B16&gt;=2,"Covered","Review"))</x:f>
        <x:v>Covered</x:v>
      </x:c>
    </x:row>
    <x:row r="17">
      <x:c r="A17" s="9" t="str">
        <x:v>US-BB-03</x:v>
      </x:c>
      <x:c r="B17" s="10" t="n">
        <x:f>COUNTIF('Test Cases'!$C$5:$C$100,A17)</x:f>
        <x:v>2</x:v>
      </x:c>
      <x:c r="C17" s="10" t="str">
        <x:f>IF(OR(A17="US-BB-05",A17="US-BB-08"),IF(B17&gt;=1,"Covered","Review"),IF(B17&gt;=2,"Covered","Review"))</x:f>
        <x:v>Covered</x:v>
      </x:c>
    </x:row>
    <x:row r="18">
      <x:c r="A18" s="9" t="str">
        <x:v>US-BB-04</x:v>
      </x:c>
      <x:c r="B18" s="10" t="n">
        <x:f>COUNTIF('Test Cases'!$C$5:$C$100,A18)</x:f>
        <x:v>2</x:v>
      </x:c>
      <x:c r="C18" s="10" t="str">
        <x:f>IF(OR(A18="US-BB-05",A18="US-BB-08"),IF(B18&gt;=1,"Covered","Review"),IF(B18&gt;=2,"Covered","Review"))</x:f>
        <x:v>Covered</x:v>
      </x:c>
    </x:row>
    <x:row r="19">
      <x:c r="A19" s="9" t="str">
        <x:v>US-BB-05</x:v>
      </x:c>
      <x:c r="B19" s="10" t="n">
        <x:f>COUNTIF('Test Cases'!$C$5:$C$100,A19)</x:f>
        <x:v>1</x:v>
      </x:c>
      <x:c r="C19" s="10" t="str">
        <x:f>IF(OR(A19="US-BB-05",A19="US-BB-08"),IF(B19&gt;=1,"Covered","Review"),IF(B19&gt;=2,"Covered","Review"))</x:f>
        <x:v>Covered</x:v>
      </x:c>
    </x:row>
    <x:row r="20">
      <x:c r="A20" s="9" t="str">
        <x:v>US-BB-06</x:v>
      </x:c>
      <x:c r="B20" s="10" t="n">
        <x:f>COUNTIF('Test Cases'!$C$5:$C$100,A20)</x:f>
        <x:v>2</x:v>
      </x:c>
      <x:c r="C20" s="10" t="str">
        <x:f>IF(OR(A20="US-BB-05",A20="US-BB-08"),IF(B20&gt;=1,"Covered","Review"),IF(B20&gt;=2,"Covered","Review"))</x:f>
        <x:v>Covered</x:v>
      </x:c>
    </x:row>
    <x:row r="21">
      <x:c r="A21" s="9" t="str">
        <x:v>US-BB-07</x:v>
      </x:c>
      <x:c r="B21" s="10" t="n">
        <x:f>COUNTIF('Test Cases'!$C$5:$C$100,A21)</x:f>
        <x:v>4</x:v>
      </x:c>
      <x:c r="C21" s="10" t="str">
        <x:f>IF(OR(A21="US-BB-05",A21="US-BB-08"),IF(B21&gt;=1,"Covered","Review"),IF(B21&gt;=2,"Covered","Review"))</x:f>
        <x:v>Covered</x:v>
      </x:c>
    </x:row>
    <x:row r="22">
      <x:c r="A22" s="9" t="str">
        <x:v>US-BB-08</x:v>
      </x:c>
      <x:c r="B22" s="10" t="n">
        <x:f>COUNTIF('Test Cases'!$C$5:$C$100,A22)</x:f>
        <x:v>1</x:v>
      </x:c>
      <x:c r="C22" s="10" t="str">
        <x:f>IF(OR(A22="US-BB-05",A22="US-BB-08"),IF(B22&gt;=1,"Covered","Review"),IF(B22&gt;=2,"Covered","Review"))</x:f>
        <x:v>Covered</x:v>
      </x:c>
    </x:row>
    <x:row r="23">
      <x:c r="A23" s="9" t="str">
        <x:v>US-BB-09</x:v>
      </x:c>
      <x:c r="B23" s="10" t="n">
        <x:f>COUNTIF('Test Cases'!$C$5:$C$100,A23)</x:f>
        <x:v>2</x:v>
      </x:c>
      <x:c r="C23" s="10" t="str">
        <x:f>IF(OR(A23="US-BB-05",A23="US-BB-08"),IF(B23&gt;=1,"Covered","Review"),IF(B23&gt;=2,"Covered","Review"))</x:f>
        <x:v>Covered</x:v>
      </x:c>
    </x:row>
    <x:row r="24">
      <x:c r="A24" s="9" t="str">
        <x:v>US-BB-10</x:v>
      </x:c>
      <x:c r="B24" s="10" t="n">
        <x:f>COUNTIF('Test Cases'!$C$5:$C$100,A24)</x:f>
        <x:v>3</x:v>
      </x:c>
      <x:c r="C24" s="10" t="str">
        <x:f>IF(OR(A24="US-BB-05",A24="US-BB-08"),IF(B24&gt;=1,"Covered","Review"),IF(B24&gt;=2,"Covered","Review"))</x:f>
        <x:v>Covered</x:v>
      </x:c>
    </x:row>
  </x:sheetData>
  <x:conditionalFormatting sqref="C15:C24">
    <x:cfRule type="containsText" dxfId="0" priority="1" operator="containsText" text="Covered"/>
    <x:cfRule type="containsText" dxfId="1" priority="2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44" hidden="0" customWidth="1"/>
    <x:col min="5" max="5" width="10" hidden="0" customWidth="1"/>
    <x:col min="6" max="6" width="32" hidden="0" customWidth="1"/>
  </x:cols>
  <x:sheetData>
    <x:row r="1" ht="26" customHeight="1">
      <x:c r="A1" s="1" t="str">
        <x:v>Test Scenarios</x:v>
      </x:c>
    </x:row>
    <x:row r="2" ht="18" customHeight="1">
      <x:c r="A2" s="2" t="str">
        <x:v>Scenario-level coverage for BB-IMS</x:v>
      </x:c>
    </x:row>
    <x:row r="4" ht="32" customHeight="1">
      <x:c r="A4" s="16" t="str">
        <x:v>Test Scenario ID</x:v>
      </x:c>
      <x:c r="B4" s="16" t="str">
        <x:v>Related Story</x:v>
      </x:c>
      <x:c r="C4" s="16" t="str">
        <x:v>Test Scenario</x:v>
      </x:c>
      <x:c r="D4" s="16" t="str">
        <x:v>Purpose</x:v>
      </x:c>
      <x:c r="E4" s="16" t="str">
        <x:v>Priority</x:v>
      </x:c>
      <x:c r="F4" s="16" t="str">
        <x:v>Notes</x:v>
      </x:c>
    </x:row>
    <x:row r="5" ht="34" customHeight="1">
      <x:c r="A5" s="20" t="str">
        <x:v>TS-01</x:v>
      </x:c>
      <x:c r="B5" s="20" t="str">
        <x:v>US-BB-10</x:v>
      </x:c>
      <x:c r="C5" s="20" t="str">
        <x:v>Health endpoint and release check</x:v>
      </x:c>
      <x:c r="D5" s="20" t="str">
        <x:v>Confirm the service starts and reports its version</x:v>
      </x:c>
      <x:c r="E5" s="20" t="str">
        <x:v>High</x:v>
      </x:c>
      <x:c r="F5" s="20" t="str">
        <x:v>Used in clean-checkout verification and CI</x:v>
      </x:c>
    </x:row>
    <x:row r="6" ht="34" customHeight="1">
      <x:c r="A6" s="21" t="str">
        <x:v>TS-02</x:v>
      </x:c>
      <x:c r="B6" s="21" t="str">
        <x:v>US-BB-02</x:v>
      </x:c>
      <x:c r="C6" s="21" t="str">
        <x:v>Inventory by store section</x:v>
      </x:c>
      <x:c r="D6" s="21" t="str">
        <x:v>Check the main remote stock workflow and empty-section boundary</x:v>
      </x:c>
      <x:c r="E6" s="21" t="str">
        <x:v>High</x:v>
      </x:c>
      <x:c r="F6" s="21" t="str">
        <x:v>Empty section must return [] without an error</x:v>
      </x:c>
    </x:row>
    <x:row r="7" ht="34" customHeight="1">
      <x:c r="A7" s="20" t="str">
        <x:v>TS-03</x:v>
      </x:c>
      <x:c r="B7" s="20" t="str">
        <x:v>US-BB-01</x:v>
      </x:c>
      <x:c r="C7" s="20" t="str">
        <x:v>New-book catalogue entry</x:v>
      </x:c>
      <x:c r="D7" s="20" t="str">
        <x:v>Check required fields and duplicate ISBN handling</x:v>
      </x:c>
      <x:c r="E7" s="20" t="str">
        <x:v>High</x:v>
      </x:c>
      <x:c r="F7" s="20" t="str">
        <x:v>Data integrity for the catalogue</x:v>
      </x:c>
    </x:row>
    <x:row r="8" ht="34" customHeight="1">
      <x:c r="A8" s="21" t="str">
        <x:v>TS-04</x:v>
      </x:c>
      <x:c r="B8" s="21" t="str">
        <x:v>US-BB-05</x:v>
      </x:c>
      <x:c r="C8" s="21" t="str">
        <x:v>Title and author search</x:v>
      </x:c>
      <x:c r="D8" s="21" t="str">
        <x:v>Check partial and case-insensitive search</x:v>
      </x:c>
      <x:c r="E8" s="21" t="str">
        <x:v>Medium</x:v>
      </x:c>
      <x:c r="F8" s="21" t="str">
        <x:v>Stretch story</x:v>
      </x:c>
    </x:row>
    <x:row r="9" ht="34" customHeight="1">
      <x:c r="A9" s="20" t="str">
        <x:v>TS-05</x:v>
      </x:c>
      <x:c r="B9" s="20" t="str">
        <x:v>US-BB-03</x:v>
      </x:c>
      <x:c r="C9" s="20" t="str">
        <x:v>Used-book copy record</x:v>
      </x:c>
      <x:c r="D9" s="20" t="str">
        <x:v>Check one row per physical copy and condition values</x:v>
      </x:c>
      <x:c r="E9" s="20" t="str">
        <x:v>High</x:v>
      </x:c>
      <x:c r="F9" s="20" t="str">
        <x:v>Used-book data model</x:v>
      </x:c>
    </x:row>
    <x:row r="10" ht="34" customHeight="1">
      <x:c r="A10" s="21" t="str">
        <x:v>TS-06</x:v>
      </x:c>
      <x:c r="B10" s="21" t="str">
        <x:v>US-BB-04</x:v>
      </x:c>
      <x:c r="C10" s="21" t="str">
        <x:v>Used-book sale lock</x:v>
      </x:c>
      <x:c r="D10" s="21" t="str">
        <x:v>Check that one copy can be sold once without affecting other copies</x:v>
      </x:c>
      <x:c r="E10" s="21" t="str">
        <x:v>High</x:v>
      </x:c>
      <x:c r="F10" s="21" t="str">
        <x:v>Concurrency and state control</x:v>
      </x:c>
    </x:row>
    <x:row r="11" ht="34" customHeight="1">
      <x:c r="A11" s="20" t="str">
        <x:v>TS-07</x:v>
      </x:c>
      <x:c r="B11" s="20" t="str">
        <x:v>US-BB-06</x:v>
      </x:c>
      <x:c r="C11" s="20" t="str">
        <x:v>Special order for an unavailable title</x:v>
      </x:c>
      <x:c r="D11" s="20" t="str">
        <x:v>Check customer details, PENDING state and no stock hold</x:v>
      </x:c>
      <x:c r="E11" s="20" t="str">
        <x:v>High</x:v>
      </x:c>
      <x:c r="F11" s="20" t="str">
        <x:v>Core front-desk workflow</x:v>
      </x:c>
    </x:row>
    <x:row r="12" ht="34" customHeight="1">
      <x:c r="A12" s="21" t="str">
        <x:v>TS-08</x:v>
      </x:c>
      <x:c r="B12" s="21" t="str">
        <x:v>US-BB-06 / US-BB-07</x:v>
      </x:c>
      <x:c r="C12" s="21" t="str">
        <x:v>Order quantity boundaries</x:v>
      </x:c>
      <x:c r="D12" s="21" t="str">
        <x:v>Check zero, invalid and missing quantity values</x:v>
      </x:c>
      <x:c r="E12" s="21" t="str">
        <x:v>High</x:v>
      </x:c>
      <x:c r="F12" s="21" t="str">
        <x:v>Regression area for DEF-01</x:v>
      </x:c>
    </x:row>
    <x:row r="13" ht="34" customHeight="1">
      <x:c r="A13" s="20" t="str">
        <x:v>TS-09</x:v>
      </x:c>
      <x:c r="B13" s="20" t="str">
        <x:v>US-BB-07</x:v>
      </x:c>
      <x:c r="C13" s="20" t="str">
        <x:v>Click-and-collect reservation</x:v>
      </x:c>
      <x:c r="D13" s="20" t="str">
        <x:v>Check stock hold, oversell prevention, cancellation and valid states</x:v>
      </x:c>
      <x:c r="E13" s="20" t="str">
        <x:v>High</x:v>
      </x:c>
      <x:c r="F13" s="20" t="str">
        <x:v>Core pickup workflow</x:v>
      </x:c>
    </x:row>
    <x:row r="14" ht="34" customHeight="1">
      <x:c r="A14" s="21" t="str">
        <x:v>TS-10</x:v>
      </x:c>
      <x:c r="B14" s="21" t="str">
        <x:v>US-BB-09</x:v>
      </x:c>
      <x:c r="C14" s="21" t="str">
        <x:v>Supplier CSV import and low stock</x:v>
      </x:c>
      <x:c r="D14" s="21" t="str">
        <x:v>Check new and existing ISBN handling and threshold reporting</x:v>
      </x:c>
      <x:c r="E14" s="21" t="str">
        <x:v>High</x:v>
      </x:c>
      <x:c r="F14" s="21" t="str">
        <x:v>Reorder support</x:v>
      </x:c>
    </x:row>
    <x:row r="15" ht="34" customHeight="1">
      <x:c r="A15" s="20" t="str">
        <x:v>TS-11</x:v>
      </x:c>
      <x:c r="B15" s="20" t="str">
        <x:v>US-BB-10</x:v>
      </x:c>
      <x:c r="C15" s="20" t="str">
        <x:v>Clean checkout and start</x:v>
      </x:c>
      <x:c r="D15" s="20" t="str">
        <x:v>Check the delivery on a fresh copy without npm install</x:v>
      </x:c>
      <x:c r="E15" s="20" t="str">
        <x:v>High</x:v>
      </x:c>
      <x:c r="F15" s="20" t="str">
        <x:v>Deployment risk RK-05</x:v>
      </x:c>
    </x:row>
    <x:row r="16" ht="34" customHeight="1">
      <x:c r="A16" s="21" t="str">
        <x:v>TS-12</x:v>
      </x:c>
      <x:c r="B16" s="21" t="str">
        <x:v>All core stories</x:v>
      </x:c>
      <x:c r="C16" s="21" t="str">
        <x:v>Browser compatibility</x:v>
      </x:c>
      <x:c r="D16" s="21" t="str">
        <x:v>Check Chrome and Edge desktop plus mobile width</x:v>
      </x:c>
      <x:c r="E16" s="21" t="str">
        <x:v>Medium</x:v>
      </x:c>
      <x:c r="F16" s="21" t="str">
        <x:v>Layout and usability</x:v>
      </x:c>
    </x:row>
    <x:row r="17" ht="34" customHeight="1">
      <x:c r="A17" s="20" t="str">
        <x:v>TS-13</x:v>
      </x:c>
      <x:c r="B17" s="20" t="str">
        <x:v>All core stories</x:v>
      </x:c>
      <x:c r="C17" s="20" t="str">
        <x:v>Usability and formal acceptance</x:v>
      </x:c>
      <x:c r="D17" s="20" t="str">
        <x:v>Check representative user tasks and reviewer acceptance</x:v>
      </x:c>
      <x:c r="E17" s="20" t="str">
        <x:v>High</x:v>
      </x:c>
      <x:c r="F17" s="20" t="str">
        <x:v>Closure evidence</x:v>
      </x:c>
    </x:row>
    <x:row r="18" ht="34" customHeight="1">
      <x:c r="A18" s="21" t="str">
        <x:v>TS-14</x:v>
      </x:c>
      <x:c r="B18" s="21" t="str">
        <x:v>US-BB-08</x:v>
      </x:c>
      <x:c r="C18" s="21" t="str">
        <x:v>Expired reservation release</x:v>
      </x:c>
      <x:c r="D18" s="21" t="str">
        <x:v>Check the stretch scheduled-release behaviour</x:v>
      </x:c>
      <x:c r="E18" s="21" t="str">
        <x:v>Low</x:v>
      </x:c>
      <x:c r="F18" s="21" t="str">
        <x:v>Not implemented in v0.2.0</x:v>
      </x:c>
    </x:row>
    <x:row r="19" ht="34" customHeight="1">
      <x:c r="A19" s="20" t="str">
        <x:v>TS-15</x:v>
      </x:c>
      <x:c r="B19" s="20" t="str">
        <x:v>US-BB-10</x:v>
      </x:c>
      <x:c r="C19" s="20" t="str">
        <x:v>Repository hygiene</x:v>
      </x:c>
      <x:c r="D19" s="20" t="str">
        <x:v>Check that secrets and local database files are not tracked</x:v>
      </x:c>
      <x:c r="E19" s="20" t="str">
        <x:v>High</x:v>
      </x:c>
      <x:c r="F19" s="20" t="str">
        <x:v>Configuration and security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  <x:col min="6" max="6" width="32" hidden="0" customWidth="1"/>
    <x:col min="7" max="7" width="30" hidden="0" customWidth="1"/>
    <x:col min="8" max="8" width="40" hidden="0" customWidth="1"/>
    <x:col min="9" max="9" width="30" hidden="0" customWidth="1"/>
    <x:col min="10" max="10" width="35" hidden="0" customWidth="1"/>
    <x:col min="11" max="11" width="40" hidden="0" customWidth="1"/>
    <x:col min="12" max="12" width="16" hidden="0" customWidth="1"/>
    <x:col min="13" max="13" width="30" hidden="0" customWidth="1"/>
    <x:col min="14" max="14" width="12" hidden="0" customWidth="1"/>
  </x:cols>
  <x:sheetData>
    <x:row r="1" ht="26" customHeight="1">
      <x:c r="A1" s="1" t="str">
        <x:v>Test Cases and Actual Results</x:v>
      </x:c>
    </x:row>
    <x:row r="2" ht="18" customHeight="1">
      <x:c r="A2" s="2" t="str">
        <x:v>Automated results are recorded; manual checks must be completed before submission</x:v>
      </x:c>
    </x:row>
    <x:row r="4" ht="32" customHeight="1">
      <x:c r="A4" s="26" t="str">
        <x:v>Test Case ID</x:v>
      </x:c>
      <x:c r="B4" s="26" t="str">
        <x:v>Test Scenario ID</x:v>
      </x:c>
      <x:c r="C4" s="26" t="str">
        <x:v>Related Story</x:v>
      </x:c>
      <x:c r="D4" s="26" t="str">
        <x:v>Test Type</x:v>
      </x:c>
      <x:c r="E4" s="26" t="str">
        <x:v>Test Level</x:v>
      </x:c>
      <x:c r="F4" s="26" t="str">
        <x:v>Title</x:v>
      </x:c>
      <x:c r="G4" s="26" t="str">
        <x:v>Preconditions</x:v>
      </x:c>
      <x:c r="H4" s="26" t="str">
        <x:v>Test Steps</x:v>
      </x:c>
      <x:c r="I4" s="26" t="str">
        <x:v>Test Data</x:v>
      </x:c>
      <x:c r="J4" s="26" t="str">
        <x:v>Expected Result</x:v>
      </x:c>
      <x:c r="K4" s="26" t="str">
        <x:v>Actual Result</x:v>
      </x:c>
      <x:c r="L4" s="26" t="str">
        <x:v>Status</x:v>
      </x:c>
      <x:c r="M4" s="26" t="str">
        <x:v>Evidence</x:v>
      </x:c>
      <x:c r="N4" s="26" t="str">
        <x:v>Owner</x:v>
      </x:c>
    </x:row>
    <x:row r="5" ht="44" customHeight="1">
      <x:c r="A5" s="30" t="str">
        <x:v>TC-01</x:v>
      </x:c>
      <x:c r="B5" s="30" t="str">
        <x:v>TS-01</x:v>
      </x:c>
      <x:c r="C5" s="30" t="str">
        <x:v>US-BB-10</x:v>
      </x:c>
      <x:c r="D5" s="30" t="str">
        <x:v>Functional</x:v>
      </x:c>
      <x:c r="E5" s="30" t="str">
        <x:v>API</x:v>
      </x:c>
      <x:c r="F5" s="30" t="str">
        <x:v>Health endpoint returns service status</x:v>
      </x:c>
      <x:c r="G5" s="30" t="str">
        <x:v>Server is running</x:v>
      </x:c>
      <x:c r="H5" s="30" t="str">
        <x:v>GET /api/health</x:v>
      </x:c>
      <x:c r="I5" s="30" t="str">
        <x:v>None</x:v>
      </x:c>
      <x:c r="J5" s="30" t="str">
        <x:v>HTTP 200 with status ok and version 0.2.0</x:v>
      </x:c>
      <x:c r="K5" s="30" t="str">
        <x:v>HTTP 200; status ok; version 0.2.0</x:v>
      </x:c>
      <x:c r="L5" s="30" t="str">
        <x:v>Passed</x:v>
      </x:c>
      <x:c r="M5" s="30" t="str">
        <x:v>npm test: health and summary endpoints respond</x:v>
      </x:c>
      <x:c r="N5" s="30" t="str">
        <x:v>李宁杰</x:v>
      </x:c>
    </x:row>
    <x:row r="6" ht="44" customHeight="1">
      <x:c r="A6" s="31" t="str">
        <x:v>TC-02</x:v>
      </x:c>
      <x:c r="B6" s="31" t="str">
        <x:v>TS-02</x:v>
      </x:c>
      <x:c r="C6" s="31" t="str">
        <x:v>US-BB-02</x:v>
      </x:c>
      <x:c r="D6" s="31" t="str">
        <x:v>Functional / boundary</x:v>
      </x:c>
      <x:c r="E6" s="31" t="str">
        <x:v>API</x:v>
      </x:c>
      <x:c r="F6" s="31" t="str">
        <x:v>Unknown section returns empty list</x:v>
      </x:c>
      <x:c r="G6" s="31" t="str">
        <x:v>Seed data is loaded</x:v>
      </x:c>
      <x:c r="H6" s="31" t="str">
        <x:v>GET /api/books?section=NoSuchSection</x:v>
      </x:c>
      <x:c r="I6" s="31" t="str">
        <x:v>NoSuchSection</x:v>
      </x:c>
      <x:c r="J6" s="31" t="str">
        <x:v>HTTP 200 and []</x:v>
      </x:c>
      <x:c r="K6" s="31" t="str">
        <x:v>HTTP 200 and []</x:v>
      </x:c>
      <x:c r="L6" s="31" t="str">
        <x:v>Passed</x:v>
      </x:c>
      <x:c r="M6" s="31" t="str">
        <x:v>npm test: unknown section returns an empty list</x:v>
      </x:c>
      <x:c r="N6" s="31" t="str">
        <x:v>李宁杰</x:v>
      </x:c>
    </x:row>
    <x:row r="7" ht="44" customHeight="1">
      <x:c r="A7" s="30" t="str">
        <x:v>TC-03</x:v>
      </x:c>
      <x:c r="B7" s="30" t="str">
        <x:v>TS-03</x:v>
      </x:c>
      <x:c r="C7" s="30" t="str">
        <x:v>US-BB-01</x:v>
      </x:c>
      <x:c r="D7" s="30" t="str">
        <x:v>Functional</x:v>
      </x:c>
      <x:c r="E7" s="30" t="str">
        <x:v>API</x:v>
      </x:c>
      <x:c r="F7" s="30" t="str">
        <x:v>Create a new book with valid fields</x:v>
      </x:c>
      <x:c r="G7" s="30" t="str">
        <x:v>Server is running</x:v>
      </x:c>
      <x:c r="H7" s="30" t="str">
        <x:v>POST /api/books with ISBN title author section quantity</x:v>
      </x:c>
      <x:c r="I7" s="30" t="str">
        <x:v>9780000000009; A New Book; Test Author; New Arrivals; quantity 2</x:v>
      </x:c>
      <x:c r="J7" s="30" t="str">
        <x:v>HTTP 201 and the stored book is returned</x:v>
      </x:c>
      <x:c r="K7" s="30" t="str">
        <x:v>HTTP 201; quantity 2</x:v>
      </x:c>
      <x:c r="L7" s="30" t="str">
        <x:v>Passed</x:v>
      </x:c>
      <x:c r="M7" s="30" t="str">
        <x:v>npm test: book creation validates input</x:v>
      </x:c>
      <x:c r="N7" s="30" t="str">
        <x:v>杨世垣</x:v>
      </x:c>
    </x:row>
    <x:row r="8" ht="44" customHeight="1">
      <x:c r="A8" s="31" t="str">
        <x:v>TC-04</x:v>
      </x:c>
      <x:c r="B8" s="31" t="str">
        <x:v>TS-03</x:v>
      </x:c>
      <x:c r="C8" s="31" t="str">
        <x:v>US-BB-01</x:v>
      </x:c>
      <x:c r="D8" s="31" t="str">
        <x:v>Negative</x:v>
      </x:c>
      <x:c r="E8" s="31" t="str">
        <x:v>API</x:v>
      </x:c>
      <x:c r="F8" s="31" t="str">
        <x:v>Reject duplicate ISBN</x:v>
      </x:c>
      <x:c r="G8" s="31" t="str">
        <x:v>A book with the test ISBN exists</x:v>
      </x:c>
      <x:c r="H8" s="31" t="str">
        <x:v>POST /api/books with the same ISBN</x:v>
      </x:c>
      <x:c r="I8" s="31" t="str">
        <x:v>9780000000009</x:v>
      </x:c>
      <x:c r="J8" s="31" t="str">
        <x:v>HTTP 409 and a clear duplicate error</x:v>
      </x:c>
      <x:c r="K8" s="31" t="str">
        <x:v>HTTP 409</x:v>
      </x:c>
      <x:c r="L8" s="31" t="str">
        <x:v>Passed</x:v>
      </x:c>
      <x:c r="M8" s="31" t="str">
        <x:v>npm test: book creation validates input</x:v>
      </x:c>
      <x:c r="N8" s="31" t="str">
        <x:v>杨世垣</x:v>
      </x:c>
    </x:row>
    <x:row r="9" ht="44" customHeight="1">
      <x:c r="A9" s="30" t="str">
        <x:v>TC-05</x:v>
      </x:c>
      <x:c r="B9" s="30" t="str">
        <x:v>TS-02</x:v>
      </x:c>
      <x:c r="C9" s="30" t="str">
        <x:v>US-BB-02</x:v>
      </x:c>
      <x:c r="D9" s="30" t="str">
        <x:v>Functional</x:v>
      </x:c>
      <x:c r="E9" s="30" t="str">
        <x:v>API</x:v>
      </x:c>
      <x:c r="F9" s="30" t="str">
        <x:v>Filter inventory by store section</x:v>
      </x:c>
      <x:c r="G9" s="30" t="str">
        <x:v>Seed data is loaded</x:v>
      </x:c>
      <x:c r="H9" s="30" t="str">
        <x:v>GET /api/books?section=Fiction</x:v>
      </x:c>
      <x:c r="I9" s="30" t="str">
        <x:v>Fiction</x:v>
      </x:c>
      <x:c r="J9" s="30" t="str">
        <x:v>Only Fiction titles are returned</x:v>
      </x:c>
      <x:c r="K9" s="30" t="str">
        <x:v>Fiction rows returned</x:v>
      </x:c>
      <x:c r="L9" s="30" t="str">
        <x:v>Passed</x:v>
      </x:c>
      <x:c r="M9" s="30" t="str">
        <x:v>Browser and API check</x:v>
      </x:c>
      <x:c r="N9" s="30" t="str">
        <x:v>李宁杰</x:v>
      </x:c>
    </x:row>
    <x:row r="10" ht="44" customHeight="1">
      <x:c r="A10" s="31" t="str">
        <x:v>TC-06</x:v>
      </x:c>
      <x:c r="B10" s="31" t="str">
        <x:v>TS-04</x:v>
      </x:c>
      <x:c r="C10" s="31" t="str">
        <x:v>US-BB-05</x:v>
      </x:c>
      <x:c r="D10" s="31" t="str">
        <x:v>Functional</x:v>
      </x:c>
      <x:c r="E10" s="31" t="str">
        <x:v>API</x:v>
      </x:c>
      <x:c r="F10" s="31" t="str">
        <x:v>Search partial title and author</x:v>
      </x:c>
      <x:c r="G10" s="31" t="str">
        <x:v>Seed data is loaded</x:v>
      </x:c>
      <x:c r="H10" s="31" t="str">
        <x:v>GET /api/books?q=atomic and q=osman</x:v>
      </x:c>
      <x:c r="I10" s="31" t="str">
        <x:v>atomic; osman</x:v>
      </x:c>
      <x:c r="J10" s="31" t="str">
        <x:v>Atomic Habits and The Thursday Murder Club are returned</x:v>
      </x:c>
      <x:c r="K10" s="31" t="str">
        <x:v>Both titles returned; no-match returns []</x:v>
      </x:c>
      <x:c r="L10" s="31" t="str">
        <x:v>Passed</x:v>
      </x:c>
      <x:c r="M10" s="31" t="str">
        <x:v>npm test: search matches partial title and author text</x:v>
      </x:c>
      <x:c r="N10" s="31" t="str">
        <x:v>刘汉</x:v>
      </x:c>
    </x:row>
    <x:row r="11" ht="44" customHeight="1">
      <x:c r="A11" s="30" t="str">
        <x:v>TC-07</x:v>
      </x:c>
      <x:c r="B11" s="30" t="str">
        <x:v>TS-05</x:v>
      </x:c>
      <x:c r="C11" s="30" t="str">
        <x:v>US-BB-03</x:v>
      </x:c>
      <x:c r="D11" s="30" t="str">
        <x:v>Functional</x:v>
      </x:c>
      <x:c r="E11" s="30" t="str">
        <x:v>API</x:v>
      </x:c>
      <x:c r="F11" s="30" t="str">
        <x:v>Create one used-book copy</x:v>
      </x:c>
      <x:c r="G11" s="30" t="str">
        <x:v>Server is running</x:v>
      </x:c>
      <x:c r="H11" s="30" t="str">
        <x:v>POST /api/used-books with condition GOOD and shelf F-02</x:v>
      </x:c>
      <x:c r="I11" s="30" t="str">
        <x:v>The Thursday Murder Club; GOOD; F-02</x:v>
      </x:c>
      <x:c r="J11" s="30" t="str">
        <x:v>HTTP 201; status AVAILABLE</x:v>
      </x:c>
      <x:c r="K11" s="30" t="str">
        <x:v>HTTP 201; AVAILABLE</x:v>
      </x:c>
      <x:c r="L11" s="30" t="str">
        <x:v>Passed</x:v>
      </x:c>
      <x:c r="M11" s="30" t="str">
        <x:v>npm test: used-book copy can be sold once</x:v>
      </x:c>
      <x:c r="N11" s="30" t="str">
        <x:v>李宁杰</x:v>
      </x:c>
    </x:row>
    <x:row r="12" ht="44" customHeight="1">
      <x:c r="A12" s="31" t="str">
        <x:v>TC-08</x:v>
      </x:c>
      <x:c r="B12" s="31" t="str">
        <x:v>TS-05</x:v>
      </x:c>
      <x:c r="C12" s="31" t="str">
        <x:v>US-BB-03</x:v>
      </x:c>
      <x:c r="D12" s="31" t="str">
        <x:v>Negative</x:v>
      </x:c>
      <x:c r="E12" s="31" t="str">
        <x:v>API</x:v>
      </x:c>
      <x:c r="F12" s="31" t="str">
        <x:v>Reject invalid used-book condition</x:v>
      </x:c>
      <x:c r="G12" s="31" t="str">
        <x:v>Server is running</x:v>
      </x:c>
      <x:c r="H12" s="31" t="str">
        <x:v>POST /api/used-books with condition UNKNOWN</x:v>
      </x:c>
      <x:c r="I12" s="31" t="str">
        <x:v>UNKNOWN</x:v>
      </x:c>
      <x:c r="J12" s="31" t="str">
        <x:v>HTTP 400</x:v>
      </x:c>
      <x:c r="K12" s="31" t="str">
        <x:v>HTTP 400</x:v>
      </x:c>
      <x:c r="L12" s="31" t="str">
        <x:v>Passed</x:v>
      </x:c>
      <x:c r="M12" s="31" t="str">
        <x:v>API validation check</x:v>
      </x:c>
      <x:c r="N12" s="31" t="str">
        <x:v>李宁杰</x:v>
      </x:c>
    </x:row>
    <x:row r="13" ht="44" customHeight="1">
      <x:c r="A13" s="30" t="str">
        <x:v>TC-09</x:v>
      </x:c>
      <x:c r="B13" s="30" t="str">
        <x:v>TS-06</x:v>
      </x:c>
      <x:c r="C13" s="30" t="str">
        <x:v>US-BB-04</x:v>
      </x:c>
      <x:c r="D13" s="30" t="str">
        <x:v>Functional</x:v>
      </x:c>
      <x:c r="E13" s="30" t="str">
        <x:v>API</x:v>
      </x:c>
      <x:c r="F13" s="30" t="str">
        <x:v>Sell one used copy</x:v>
      </x:c>
      <x:c r="G13" s="30" t="str">
        <x:v>Copy status is AVAILABLE</x:v>
      </x:c>
      <x:c r="H13" s="30" t="str">
        <x:v>POST /api/used-books/:id/sell</x:v>
      </x:c>
      <x:c r="I13" s="30" t="str">
        <x:v>Seeded copy id</x:v>
      </x:c>
      <x:c r="J13" s="30" t="str">
        <x:v>HTTP 200 and status SOLD</x:v>
      </x:c>
      <x:c r="K13" s="30" t="str">
        <x:v>HTTP 200; SOLD</x:v>
      </x:c>
      <x:c r="L13" s="30" t="str">
        <x:v>Passed</x:v>
      </x:c>
      <x:c r="M13" s="30" t="str">
        <x:v>npm test: used-book copy can be sold once</x:v>
      </x:c>
      <x:c r="N13" s="30" t="str">
        <x:v>李宁杰</x:v>
      </x:c>
    </x:row>
    <x:row r="14" ht="44" customHeight="1">
      <x:c r="A14" s="31" t="str">
        <x:v>TC-10</x:v>
      </x:c>
      <x:c r="B14" s="31" t="str">
        <x:v>TS-06</x:v>
      </x:c>
      <x:c r="C14" s="31" t="str">
        <x:v>US-BB-04</x:v>
      </x:c>
      <x:c r="D14" s="31" t="str">
        <x:v>Negative / concurrency</x:v>
      </x:c>
      <x:c r="E14" s="31" t="str">
        <x:v>API</x:v>
      </x:c>
      <x:c r="F14" s="31" t="str">
        <x:v>Reject a second sale of the same copy</x:v>
      </x:c>
      <x:c r="G14" s="31" t="str">
        <x:v>Copy is already SOLD</x:v>
      </x:c>
      <x:c r="H14" s="31" t="str">
        <x:v>POST the same sale request again</x:v>
      </x:c>
      <x:c r="I14" s="31" t="str">
        <x:v>Same copy id</x:v>
      </x:c>
      <x:c r="J14" s="31" t="str">
        <x:v>HTTP 409</x:v>
      </x:c>
      <x:c r="K14" s="31" t="str">
        <x:v>HTTP 409</x:v>
      </x:c>
      <x:c r="L14" s="31" t="str">
        <x:v>Passed</x:v>
      </x:c>
      <x:c r="M14" s="31" t="str">
        <x:v>npm test: used-book copy can be sold once</x:v>
      </x:c>
      <x:c r="N14" s="31" t="str">
        <x:v>李宁杰</x:v>
      </x:c>
    </x:row>
    <x:row r="15" ht="44" customHeight="1">
      <x:c r="A15" s="30" t="str">
        <x:v>TC-11</x:v>
      </x:c>
      <x:c r="B15" s="30" t="str">
        <x:v>TS-07</x:v>
      </x:c>
      <x:c r="C15" s="30" t="str">
        <x:v>US-BB-06</x:v>
      </x:c>
      <x:c r="D15" s="30" t="str">
        <x:v>Functional</x:v>
      </x:c>
      <x:c r="E15" s="30" t="str">
        <x:v>API</x:v>
      </x:c>
      <x:c r="F15" s="30" t="str">
        <x:v>Create a special order with customer details</x:v>
      </x:c>
      <x:c r="G15" s="30" t="str">
        <x:v>Book exists with zero stock</x:v>
      </x:c>
      <x:c r="H15" s="30" t="str">
        <x:v>POST /api/special-orders</x:v>
      </x:c>
      <x:c r="I15" s="30" t="str">
        <x:v>A Brief History of Time; Priya Raman; 0400 111 222</x:v>
      </x:c>
      <x:c r="J15" s="30" t="str">
        <x:v>HTTP 201; status PENDING; customer name and phone stored</x:v>
      </x:c>
      <x:c r="K15" s="30" t="str">
        <x:v>HTTP 201; PENDING</x:v>
      </x:c>
      <x:c r="L15" s="30" t="str">
        <x:v>Passed</x:v>
      </x:c>
      <x:c r="M15" s="30" t="str">
        <x:v>npm test: special order starts as PENDING</x:v>
      </x:c>
      <x:c r="N15" s="30" t="str">
        <x:v>刘汉</x:v>
      </x:c>
    </x:row>
    <x:row r="16" ht="44" customHeight="1">
      <x:c r="A16" s="31" t="str">
        <x:v>TC-12</x:v>
      </x:c>
      <x:c r="B16" s="31" t="str">
        <x:v>TS-07</x:v>
      </x:c>
      <x:c r="C16" s="31" t="str">
        <x:v>US-BB-06</x:v>
      </x:c>
      <x:c r="D16" s="31" t="str">
        <x:v>Functional</x:v>
      </x:c>
      <x:c r="E16" s="31" t="str">
        <x:v>API</x:v>
      </x:c>
      <x:c r="F16" s="31" t="str">
        <x:v>Move a special order through valid states</x:v>
      </x:c>
      <x:c r="G16" s="31" t="str">
        <x:v>A PENDING special order exists</x:v>
      </x:c>
      <x:c r="H16" s="31" t="str">
        <x:v>PATCH status to ORDERED then ARRIVED</x:v>
      </x:c>
      <x:c r="I16" s="31" t="str">
        <x:v>ORDERED; ARRIVED</x:v>
      </x:c>
      <x:c r="J16" s="31" t="str">
        <x:v>HTTP 200 for each valid transition</x:v>
      </x:c>
      <x:c r="K16" s="31" t="str">
        <x:v>HTTP 200; ORDERED; ARRIVED</x:v>
      </x:c>
      <x:c r="L16" s="31" t="str">
        <x:v>Passed</x:v>
      </x:c>
      <x:c r="M16" s="31" t="str">
        <x:v>npm test: special order starts as PENDING</x:v>
      </x:c>
      <x:c r="N16" s="31" t="str">
        <x:v>刘汉</x:v>
      </x:c>
    </x:row>
    <x:row r="17" ht="44" customHeight="1">
      <x:c r="A17" s="30" t="str">
        <x:v>TC-13</x:v>
      </x:c>
      <x:c r="B17" s="30" t="str">
        <x:v>TS-08</x:v>
      </x:c>
      <x:c r="C17" s="30" t="str">
        <x:v>US-BB-06 / US-BB-07</x:v>
      </x:c>
      <x:c r="D17" s="30" t="str">
        <x:v>Boundary / regression</x:v>
      </x:c>
      <x:c r="E17" s="30" t="str">
        <x:v>API</x:v>
      </x:c>
      <x:c r="F17" s="30" t="str">
        <x:v>Reject zero quantity</x:v>
      </x:c>
      <x:c r="G17" s="30" t="str">
        <x:v>Server is running</x:v>
      </x:c>
      <x:c r="H17" s="30" t="str">
        <x:v>POST special order and reservation with quantity 0</x:v>
      </x:c>
      <x:c r="I17" s="30" t="str">
        <x:v>quantity 0</x:v>
      </x:c>
      <x:c r="J17" s="30" t="str">
        <x:v>HTTP 400 for both requests</x:v>
      </x:c>
      <x:c r="K17" s="30" t="str">
        <x:v>Initial result: 201 and quantity converted to 1. Fixed with positive-integer validation. Retest: HTTP 400 for both.</x:v>
      </x:c>
      <x:c r="L17" s="30" t="str">
        <x:v>Passed after fix</x:v>
      </x:c>
      <x:c r="M17" s="30" t="str">
        <x:v>npm test: order quantity must be at least one; DEF-01</x:v>
      </x:c>
      <x:c r="N17" s="30" t="str">
        <x:v>李宁杰</x:v>
      </x:c>
    </x:row>
    <x:row r="18" ht="44" customHeight="1">
      <x:c r="A18" s="31" t="str">
        <x:v>TC-14</x:v>
      </x:c>
      <x:c r="B18" s="31" t="str">
        <x:v>TS-09</x:v>
      </x:c>
      <x:c r="C18" s="31" t="str">
        <x:v>US-BB-07</x:v>
      </x:c>
      <x:c r="D18" s="31" t="str">
        <x:v>Functional</x:v>
      </x:c>
      <x:c r="E18" s="31" t="str">
        <x:v>API</x:v>
      </x:c>
      <x:c r="F18" s="31" t="str">
        <x:v>Reservation holds stock</x:v>
      </x:c>
      <x:c r="G18" s="31" t="str">
        <x:v>Book has one copy</x:v>
      </x:c>
      <x:c r="H18" s="31" t="str">
        <x:v>POST /api/reservations with quantity 1</x:v>
      </x:c>
      <x:c r="I18" s="31" t="str">
        <x:v>The Four; quantity 1</x:v>
      </x:c>
      <x:c r="J18" s="31" t="str">
        <x:v>HTTP 201; status PENDING; stock decreases to 0</x:v>
      </x:c>
      <x:c r="K18" s="31" t="str">
        <x:v>HTTP 201; stock 0</x:v>
      </x:c>
      <x:c r="L18" s="31" t="str">
        <x:v>Passed</x:v>
      </x:c>
      <x:c r="M18" s="31" t="str">
        <x:v>npm test: reservation holds stock</x:v>
      </x:c>
      <x:c r="N18" s="31" t="str">
        <x:v>刘汉</x:v>
      </x:c>
    </x:row>
    <x:row r="19" ht="44" customHeight="1">
      <x:c r="A19" s="30" t="str">
        <x:v>TC-15</x:v>
      </x:c>
      <x:c r="B19" s="30" t="str">
        <x:v>TS-09</x:v>
      </x:c>
      <x:c r="C19" s="30" t="str">
        <x:v>US-BB-07</x:v>
      </x:c>
      <x:c r="D19" s="30" t="str">
        <x:v>Negative</x:v>
      </x:c>
      <x:c r="E19" s="30" t="str">
        <x:v>API</x:v>
      </x:c>
      <x:c r="F19" s="30" t="str">
        <x:v>Reject oversell</x:v>
      </x:c>
      <x:c r="G19" s="30" t="str">
        <x:v>Stock is held by another reservation</x:v>
      </x:c>
      <x:c r="H19" s="30" t="str">
        <x:v>POST a second reservation for the same book</x:v>
      </x:c>
      <x:c r="I19" s="30" t="str">
        <x:v>The Four; quantity 1</x:v>
      </x:c>
      <x:c r="J19" s="30" t="str">
        <x:v>HTTP 409</x:v>
      </x:c>
      <x:c r="K19" s="30" t="str">
        <x:v>HTTP 409</x:v>
      </x:c>
      <x:c r="L19" s="30" t="str">
        <x:v>Passed</x:v>
      </x:c>
      <x:c r="M19" s="30" t="str">
        <x:v>npm test: reservation holds stock</x:v>
      </x:c>
      <x:c r="N19" s="30" t="str">
        <x:v>刘汉</x:v>
      </x:c>
    </x:row>
    <x:row r="20" ht="44" customHeight="1">
      <x:c r="A20" s="31" t="str">
        <x:v>TC-16</x:v>
      </x:c>
      <x:c r="B20" s="31" t="str">
        <x:v>TS-09</x:v>
      </x:c>
      <x:c r="C20" s="31" t="str">
        <x:v>US-BB-07</x:v>
      </x:c>
      <x:c r="D20" s="31" t="str">
        <x:v>Functional / recovery</x:v>
      </x:c>
      <x:c r="E20" s="31" t="str">
        <x:v>API</x:v>
      </x:c>
      <x:c r="F20" s="31" t="str">
        <x:v>Cancel reservation and release stock</x:v>
      </x:c>
      <x:c r="G20" s="31" t="str">
        <x:v>A reservation holds one copy</x:v>
      </x:c>
      <x:c r="H20" s="31" t="str">
        <x:v>PATCH status to CANCELLED</x:v>
      </x:c>
      <x:c r="I20" s="31" t="str">
        <x:v>CANCELLED</x:v>
      </x:c>
      <x:c r="J20" s="31" t="str">
        <x:v>HTTP 200; stock returns to 1</x:v>
      </x:c>
      <x:c r="K20" s="31" t="str">
        <x:v>HTTP 200; stock 1</x:v>
      </x:c>
      <x:c r="L20" s="31" t="str">
        <x:v>Passed</x:v>
      </x:c>
      <x:c r="M20" s="31" t="str">
        <x:v>npm test: reservation holds stock</x:v>
      </x:c>
      <x:c r="N20" s="31" t="str">
        <x:v>李宁杰</x:v>
      </x:c>
    </x:row>
    <x:row r="21" ht="44" customHeight="1">
      <x:c r="A21" s="30" t="str">
        <x:v>TC-17</x:v>
      </x:c>
      <x:c r="B21" s="30" t="str">
        <x:v>TS-09</x:v>
      </x:c>
      <x:c r="C21" s="30" t="str">
        <x:v>US-BB-07</x:v>
      </x:c>
      <x:c r="D21" s="30" t="str">
        <x:v>Negative</x:v>
      </x:c>
      <x:c r="E21" s="30" t="str">
        <x:v>API</x:v>
      </x:c>
      <x:c r="F21" s="30" t="str">
        <x:v>Reject an invalid reservation transition</x:v>
      </x:c>
      <x:c r="G21" s="30" t="str">
        <x:v>A PENDING reservation exists</x:v>
      </x:c>
      <x:c r="H21" s="30" t="str">
        <x:v>PATCH status directly to COMPLETED</x:v>
      </x:c>
      <x:c r="I21" s="30" t="str">
        <x:v>COMPLETED</x:v>
      </x:c>
      <x:c r="J21" s="30" t="str">
        <x:v>HTTP 400 with allowed next states</x:v>
      </x:c>
      <x:c r="K21" s="30" t="str">
        <x:v>HTTP 400</x:v>
      </x:c>
      <x:c r="L21" s="30" t="str">
        <x:v>Passed</x:v>
      </x:c>
      <x:c r="M21" s="30" t="str">
        <x:v>npm test: special order state machine and reservation checks</x:v>
      </x:c>
      <x:c r="N21" s="30" t="str">
        <x:v>李宁杰</x:v>
      </x:c>
    </x:row>
    <x:row r="22" ht="44" customHeight="1">
      <x:c r="A22" s="31" t="str">
        <x:v>TC-18</x:v>
      </x:c>
      <x:c r="B22" s="31" t="str">
        <x:v>TS-10</x:v>
      </x:c>
      <x:c r="C22" s="31" t="str">
        <x:v>US-BB-09</x:v>
      </x:c>
      <x:c r="D22" s="31" t="str">
        <x:v>Functional</x:v>
      </x:c>
      <x:c r="E22" s="31" t="str">
        <x:v>API</x:v>
      </x:c>
      <x:c r="F22" s="31" t="str">
        <x:v>Import supplier CSV</x:v>
      </x:c>
      <x:c r="G22" s="31" t="str">
        <x:v>Server is running and seed data loaded</x:v>
      </x:c>
      <x:c r="H22" s="31" t="str">
        <x:v>POST /api/suppliers/import with two rows</x:v>
      </x:c>
      <x:c r="I22" s="31" t="str">
        <x:v>One new ISBN and one existing ISBN</x:v>
      </x:c>
      <x:c r="J22" s="31" t="str">
        <x:v>HTTP 200; imported 2; new book stored</x:v>
      </x:c>
      <x:c r="K22" s="31" t="str">
        <x:v>HTTP 200; imported 2</x:v>
      </x:c>
      <x:c r="L22" s="31" t="str">
        <x:v>Passed</x:v>
      </x:c>
      <x:c r="M22" s="31" t="str">
        <x:v>npm test: supplier CSV import</x:v>
      </x:c>
      <x:c r="N22" s="31" t="str">
        <x:v>李宁杰</x:v>
      </x:c>
    </x:row>
    <x:row r="23" ht="44" customHeight="1">
      <x:c r="A23" s="30" t="str">
        <x:v>TC-19</x:v>
      </x:c>
      <x:c r="B23" s="30" t="str">
        <x:v>TS-10</x:v>
      </x:c>
      <x:c r="C23" s="30" t="str">
        <x:v>US-BB-09</x:v>
      </x:c>
      <x:c r="D23" s="30" t="str">
        <x:v>Functional / boundary</x:v>
      </x:c>
      <x:c r="E23" s="30" t="str">
        <x:v>API</x:v>
      </x:c>
      <x:c r="F23" s="30" t="str">
        <x:v>Report low-stock titles</x:v>
      </x:c>
      <x:c r="G23" s="30" t="str">
        <x:v>A title has quantity at or below threshold</x:v>
      </x:c>
      <x:c r="H23" s="30" t="str">
        <x:v>GET /api/inventory/low-stock</x:v>
      </x:c>
      <x:c r="I23" s="30" t="str">
        <x:v>The Labyrinth with quantity 1 and threshold 2</x:v>
      </x:c>
      <x:c r="J23" s="30" t="str">
        <x:v>Title appears in the low-stock list</x:v>
      </x:c>
      <x:c r="K23" s="30" t="str">
        <x:v>Title appears</x:v>
      </x:c>
      <x:c r="L23" s="30" t="str">
        <x:v>Passed</x:v>
      </x:c>
      <x:c r="M23" s="30" t="str">
        <x:v>npm test: supplier CSV import</x:v>
      </x:c>
      <x:c r="N23" s="30" t="str">
        <x:v>李宁杰</x:v>
      </x:c>
    </x:row>
    <x:row r="24" ht="44" customHeight="1">
      <x:c r="A24" s="31" t="str">
        <x:v>TC-20</x:v>
      </x:c>
      <x:c r="B24" s="31" t="str">
        <x:v>TS-11</x:v>
      </x:c>
      <x:c r="C24" s="31" t="str">
        <x:v>US-BB-10</x:v>
      </x:c>
      <x:c r="D24" s="31" t="str">
        <x:v>System / deployment</x:v>
      </x:c>
      <x:c r="E24" s="31" t="str">
        <x:v>Manual</x:v>
      </x:c>
      <x:c r="F24" s="31" t="str">
        <x:v>Clean checkout starts and passes health check</x:v>
      </x:c>
      <x:c r="G24" s="31" t="str">
        <x:v>Fresh copy of the repository; Node 24</x:v>
      </x:c>
      <x:c r="H24" s="31" t="str">
        <x:v>Run npm test; run npm start; request /api/health</x:v>
      </x:c>
      <x:c r="I24" s="31" t="str">
        <x:v>No npm install</x:v>
      </x:c>
      <x:c r="J24" s="31" t="str">
        <x:v>Tests pass; server starts; health returns 200</x:v>
      </x:c>
      <x:c r="K24" s="31" t="str">
        <x:v>Tests 11/11 passed; server started locally; health returned 200</x:v>
      </x:c>
      <x:c r="L24" s="31" t="str">
        <x:v>Passed</x:v>
      </x:c>
      <x:c r="M24" s="31" t="str">
        <x:v>Command output and screenshot</x:v>
      </x:c>
      <x:c r="N24" s="31" t="str">
        <x:v>李宁杰</x:v>
      </x:c>
    </x:row>
    <x:row r="25" ht="44" customHeight="1">
      <x:c r="A25" s="30" t="str">
        <x:v>TC-21</x:v>
      </x:c>
      <x:c r="B25" s="30" t="str">
        <x:v>TS-12</x:v>
      </x:c>
      <x:c r="C25" s="30" t="str">
        <x:v>All core stories</x:v>
      </x:c>
      <x:c r="D25" s="30" t="str">
        <x:v>Non-functional</x:v>
      </x:c>
      <x:c r="E25" s="30" t="str">
        <x:v>Manual</x:v>
      </x:c>
      <x:c r="F25" s="30" t="str">
        <x:v>Chrome and Edge desktop plus mobile width</x:v>
      </x:c>
      <x:c r="G25" s="30" t="str">
        <x:v>Server is running</x:v>
      </x:c>
      <x:c r="H25" s="30" t="str">
        <x:v>Open the storefront at desktop and 390 px width; run the main workflow</x:v>
      </x:c>
      <x:c r="I25" s="30" t="str">
        <x:v>Chrome; Edge; 390 px</x:v>
      </x:c>
      <x:c r="J25" s="30" t="str">
        <x:v>No clipping; forms and tables remain usable</x:v>
      </x:c>
      <x:c r="K25" s="30" t="str">
        <x:v>Desktop and narrow-width screenshots captured; table remains usable</x:v>
      </x:c>
      <x:c r="L25" s="30" t="str">
        <x:v>Passed</x:v>
      </x:c>
      <x:c r="M25" s="30" t="str">
        <x:v>submission/evidence/app-ui-desktop.png; app-ui-mobile.png</x:v>
      </x:c>
      <x:c r="N25" s="30" t="str">
        <x:v>刘汉</x:v>
      </x:c>
    </x:row>
    <x:row r="26" ht="44" customHeight="1">
      <x:c r="A26" s="31" t="str">
        <x:v>TC-22</x:v>
      </x:c>
      <x:c r="B26" s="31" t="str">
        <x:v>TS-13</x:v>
      </x:c>
      <x:c r="C26" s="31" t="str">
        <x:v>All core stories</x:v>
      </x:c>
      <x:c r="D26" s="31" t="str">
        <x:v>Usability / acceptance</x:v>
      </x:c>
      <x:c r="E26" s="31" t="str">
        <x:v>Manual</x:v>
      </x:c>
      <x:c r="F26" s="31" t="str">
        <x:v>Representative user completes a special order and reservation</x:v>
      </x:c>
      <x:c r="G26" s="31" t="str">
        <x:v>Server is running; product owner available</x:v>
      </x:c>
      <x:c r="H26" s="31" t="str">
        <x:v>Observe the user; record completion and feedback</x:v>
      </x:c>
      <x:c r="I26" s="31" t="str">
        <x:v>Fictional customer task</x:v>
      </x:c>
      <x:c r="J26" s="31" t="str">
        <x:v>User completes both tasks without major confusion; reviewer records acceptance</x:v>
      </x:c>
      <x:c r="K26" s="31" t="str">
        <x:v>To be completed at the acceptance review</x:v>
      </x:c>
      <x:c r="L26" s="31" t="str">
        <x:v>Not Run</x:v>
      </x:c>
      <x:c r="M26" s="31" t="str">
        <x:v>Usability notes and acceptance form</x:v>
      </x:c>
      <x:c r="N26" s="31" t="str">
        <x:v>杨世垣</x:v>
      </x:c>
    </x:row>
    <x:row r="27" ht="44" customHeight="1">
      <x:c r="A27" s="30" t="str">
        <x:v>TC-23</x:v>
      </x:c>
      <x:c r="B27" s="30" t="str">
        <x:v>TS-14</x:v>
      </x:c>
      <x:c r="C27" s="30" t="str">
        <x:v>US-BB-08</x:v>
      </x:c>
      <x:c r="D27" s="30" t="str">
        <x:v>Stretch / automation</x:v>
      </x:c>
      <x:c r="E27" s="30" t="str">
        <x:v>Manual</x:v>
      </x:c>
      <x:c r="F27" s="30" t="str">
        <x:v>Expired reservation is released after 14 days</x:v>
      </x:c>
      <x:c r="G27" s="30" t="str">
        <x:v>A reservation exists with a past due date</x:v>
      </x:c>
      <x:c r="H27" s="30" t="str">
        <x:v>Run the scheduled release job or document the manual fallback</x:v>
      </x:c>
      <x:c r="I27" s="30" t="str">
        <x:v>Past due reservation</x:v>
      </x:c>
      <x:c r="J27" s="30" t="str">
        <x:v>Stock returns to the shelf; order becomes CANCELLED</x:v>
      </x:c>
      <x:c r="K27" s="30" t="str">
        <x:v>Not implemented in v0.2.0; recorded as a known limitation</x:v>
      </x:c>
      <x:c r="L27" s="30" t="str">
        <x:v>Not Run (Stretch)</x:v>
      </x:c>
      <x:c r="M27" s="30" t="str">
        <x:v>Known limitation note</x:v>
      </x:c>
      <x:c r="N27" s="30" t="str">
        <x:v>刘汉</x:v>
      </x:c>
    </x:row>
    <x:row r="28" ht="44" customHeight="1">
      <x:c r="A28" s="30" t="str">
        <x:v>TC-24</x:v>
      </x:c>
      <x:c r="B28" s="30" t="str">
        <x:v>TS-15</x:v>
      </x:c>
      <x:c r="C28" s="30" t="str">
        <x:v>US-BB-10</x:v>
      </x:c>
      <x:c r="D28" s="30" t="str">
        <x:v>Security / configuration</x:v>
      </x:c>
      <x:c r="E28" s="30" t="str">
        <x:v>Manual</x:v>
      </x:c>
      <x:c r="F28" s="30" t="str">
        <x:v>Repository excludes secrets and local database files</x:v>
      </x:c>
      <x:c r="G28" s="30" t="str">
        <x:v>Repository is cloned</x:v>
      </x:c>
      <x:c r="H28" s="30" t="str">
        <x:v>Inspect .gitignore and git status; confirm .env and data/*.db are not tracked</x:v>
      </x:c>
      <x:c r="I28" s="30" t="str">
        <x:v>git status; .gitignore</x:v>
      </x:c>
      <x:c r="J28" s="30" t="str">
        <x:v>No secret file or local database is tracked</x:v>
      </x:c>
      <x:c r="K28" s="30" t="str">
        <x:v>Verified: .env and data/*.db are ignored</x:v>
      </x:c>
      <x:c r="L28" s="30" t="str">
        <x:v>Passed</x:v>
      </x:c>
      <x:c r="M28" s="30" t="str">
        <x:v>.gitignore and git status</x:v>
      </x:c>
      <x:c r="N28" s="30" t="str">
        <x:v>李宁杰</x:v>
      </x:c>
    </x:row>
  </x:sheetData>
  <x:conditionalFormatting sqref="L5:L100">
    <x:cfRule type="containsText" dxfId="2" priority="1" operator="containsText" text="Passed"/>
    <x:cfRule type="containsText" dxfId="3" priority="2" operator="containsText" text="Not Run"/>
    <x:cfRule type="containsText" dxfId="4" priority="3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10" hidden="0" customWidth="1"/>
  </x:cols>
  <x:sheetData>
    <x:row r="1" ht="26" customHeight="1">
      <x:c r="A1" s="1" t="str">
        <x:v>Requirement-to-Test Traceability Matrix</x:v>
      </x:c>
    </x:row>
    <x:row r="2" ht="18" customHeight="1">
      <x:c r="A2" s="2" t="str">
        <x:v>X marks a test case that covers the requirement</x:v>
      </x:c>
    </x:row>
    <x:row r="4" ht="32" customHeight="1">
      <x:c r="A4" s="26" t="str">
        <x:v>Requirement</x:v>
      </x:c>
      <x:c r="B4" s="26" t="str">
        <x:v>Requirement summary</x:v>
      </x:c>
      <x:c r="C4" s="26" t="str">
        <x:v>TC-01</x:v>
      </x:c>
      <x:c r="D4" s="26" t="str">
        <x:v>TC-02</x:v>
      </x:c>
      <x:c r="E4" s="26" t="str">
        <x:v>TC-03</x:v>
      </x:c>
      <x:c r="F4" s="26" t="str">
        <x:v>TC-04</x:v>
      </x:c>
      <x:c r="G4" s="26" t="str">
        <x:v>TC-05</x:v>
      </x:c>
      <x:c r="H4" s="26" t="str">
        <x:v>TC-06</x:v>
      </x:c>
      <x:c r="I4" s="26" t="str">
        <x:v>TC-07</x:v>
      </x:c>
      <x:c r="J4" s="26" t="str">
        <x:v>TC-08</x:v>
      </x:c>
      <x:c r="K4" s="26" t="str">
        <x:v>TC-09</x:v>
      </x:c>
      <x:c r="L4" s="26" t="str">
        <x:v>TC-10</x:v>
      </x:c>
      <x:c r="M4" s="26" t="str">
        <x:v>TC-11</x:v>
      </x:c>
      <x:c r="N4" s="26" t="str">
        <x:v>TC-12</x:v>
      </x:c>
      <x:c r="O4" s="26" t="str">
        <x:v>TC-13</x:v>
      </x:c>
      <x:c r="P4" s="26" t="str">
        <x:v>TC-14</x:v>
      </x:c>
      <x:c r="Q4" s="26" t="str">
        <x:v>TC-15</x:v>
      </x:c>
      <x:c r="R4" s="26" t="str">
        <x:v>TC-16</x:v>
      </x:c>
      <x:c r="S4" s="26" t="str">
        <x:v>TC-17</x:v>
      </x:c>
      <x:c r="T4" s="26" t="str">
        <x:v>TC-18</x:v>
      </x:c>
      <x:c r="U4" s="26" t="str">
        <x:v>TC-19</x:v>
      </x:c>
      <x:c r="V4" s="26" t="str">
        <x:v>TC-20</x:v>
      </x:c>
      <x:c r="W4" s="26" t="str">
        <x:v>TC-21</x:v>
      </x:c>
      <x:c r="X4" s="26" t="str">
        <x:v>TC-22</x:v>
      </x:c>
      <x:c r="Y4" s="26" t="str">
        <x:v>TC-23</x:v>
      </x:c>
      <x:c r="Z4" s="26" t="str">
        <x:v>TC-24</x:v>
      </x:c>
      <x:c r="AA4" s="26" t="str">
        <x:v>Case count</x:v>
      </x:c>
    </x:row>
    <x:row r="5" ht="26" customHeight="1">
      <x:c r="A5" s="30" t="str">
        <x:v>US-BB-01</x:v>
      </x:c>
      <x:c r="B5" s="30" t="str">
        <x:v>New-book catalogue and ISBN entry</x:v>
      </x:c>
      <x:c r="C5" s="32" t="str"/>
      <x:c r="D5" s="32" t="str"/>
      <x:c r="E5" s="32" t="str">
        <x:v>X</x:v>
      </x:c>
      <x:c r="F5" s="32" t="str">
        <x:v>X</x:v>
      </x:c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>
        <x:v>2</x:v>
      </x:c>
    </x:row>
    <x:row r="6" ht="26" customHeight="1">
      <x:c r="A6" s="31" t="str">
        <x:v>US-BB-02</x:v>
      </x:c>
      <x:c r="B6" s="31" t="str">
        <x:v>Section inventory with empty-list safety</x:v>
      </x:c>
      <x:c r="C6" s="33" t="str"/>
      <x:c r="D6" s="33" t="str">
        <x:v>X</x:v>
      </x:c>
      <x:c r="E6" s="33" t="str"/>
      <x:c r="F6" s="33" t="str"/>
      <x:c r="G6" s="33" t="str">
        <x:v>X</x:v>
      </x:c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>
        <x:v>2</x:v>
      </x:c>
    </x:row>
    <x:row r="7" ht="26" customHeight="1">
      <x:c r="A7" s="30" t="str">
        <x:v>US-BB-03</x:v>
      </x:c>
      <x:c r="B7" s="30" t="str">
        <x:v>Used-book copy record</x:v>
      </x:c>
      <x:c r="C7" s="32" t="str"/>
      <x:c r="D7" s="32" t="str"/>
      <x:c r="E7" s="32" t="str"/>
      <x:c r="F7" s="32" t="str"/>
      <x:c r="G7" s="32" t="str"/>
      <x:c r="H7" s="32" t="str"/>
      <x:c r="I7" s="32" t="str">
        <x:v>X</x:v>
      </x:c>
      <x:c r="J7" s="32" t="str">
        <x:v>X</x:v>
      </x:c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>
        <x:v>2</x:v>
      </x:c>
    </x:row>
    <x:row r="8" ht="26" customHeight="1">
      <x:c r="A8" s="31" t="str">
        <x:v>US-BB-04</x:v>
      </x:c>
      <x:c r="B8" s="31" t="str">
        <x:v>Used-book sale lock</x:v>
      </x:c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>
        <x:v>X</x:v>
      </x:c>
      <x:c r="L8" s="33" t="str">
        <x:v>X</x:v>
      </x:c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>
        <x:v>2</x:v>
      </x:c>
    </x:row>
    <x:row r="9" ht="26" customHeight="1">
      <x:c r="A9" s="30" t="str">
        <x:v>US-BB-05</x:v>
      </x:c>
      <x:c r="B9" s="30" t="str">
        <x:v>Combined title and author search</x:v>
      </x:c>
      <x:c r="C9" s="32" t="str"/>
      <x:c r="D9" s="32" t="str"/>
      <x:c r="E9" s="32" t="str"/>
      <x:c r="F9" s="32" t="str"/>
      <x:c r="G9" s="32" t="str"/>
      <x:c r="H9" s="32" t="str">
        <x:v>X</x:v>
      </x:c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>
        <x:v>1</x:v>
      </x:c>
    </x:row>
    <x:row r="10" ht="26" customHeight="1">
      <x:c r="A10" s="31" t="str">
        <x:v>US-BB-06</x:v>
      </x:c>
      <x:c r="B10" s="31" t="str">
        <x:v>Special order for an unavailable title</x:v>
      </x:c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>
        <x:v>X</x:v>
      </x:c>
      <x:c r="N10" s="33" t="str">
        <x:v>X</x:v>
      </x:c>
      <x:c r="O10" s="33" t="str">
        <x:v>X</x:v>
      </x:c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>
        <x:v>3</x:v>
      </x:c>
    </x:row>
    <x:row r="11" ht="26" customHeight="1">
      <x:c r="A11" s="30" t="str">
        <x:v>US-BB-07</x:v>
      </x:c>
      <x:c r="B11" s="30" t="str">
        <x:v>Click-and-collect reservation and state machine</x:v>
      </x:c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>
        <x:v>X</x:v>
      </x:c>
      <x:c r="P11" s="32" t="str">
        <x:v>X</x:v>
      </x:c>
      <x:c r="Q11" s="32" t="str">
        <x:v>X</x:v>
      </x:c>
      <x:c r="R11" s="32" t="str">
        <x:v>X</x:v>
      </x:c>
      <x:c r="S11" s="32" t="str">
        <x:v>X</x:v>
      </x:c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>
        <x:v>5</x:v>
      </x:c>
    </x:row>
    <x:row r="12" ht="26" customHeight="1">
      <x:c r="A12" s="31" t="str">
        <x:v>US-BB-08</x:v>
      </x:c>
      <x:c r="B12" s="31" t="str">
        <x:v>Expired reservation release</x:v>
      </x:c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>
        <x:v>X</x:v>
      </x:c>
      <x:c r="AA12" s="33" t="str">
        <x:v>1</x:v>
      </x:c>
    </x:row>
    <x:row r="13" ht="26" customHeight="1">
      <x:c r="A13" s="30" t="str">
        <x:v>US-BB-09</x:v>
      </x:c>
      <x:c r="B13" s="30" t="str">
        <x:v>Supplier import and low-stock alert</x:v>
      </x:c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>
        <x:v>X</x:v>
      </x:c>
      <x:c r="U13" s="32" t="str">
        <x:v>X</x:v>
      </x:c>
      <x:c r="V13" s="32" t="str"/>
      <x:c r="W13" s="32" t="str"/>
      <x:c r="X13" s="32" t="str"/>
      <x:c r="Y13" s="32" t="str"/>
      <x:c r="Z13" s="32" t="str"/>
      <x:c r="AA13" s="32" t="str">
        <x:v>2</x:v>
      </x:c>
    </x:row>
    <x:row r="14" ht="26" customHeight="1">
      <x:c r="A14" s="30" t="str">
        <x:v>US-BB-10</x:v>
      </x:c>
      <x:c r="B14" s="30" t="str">
        <x:v>Seed data automated tests and v0.2.0 release</x:v>
      </x:c>
      <x:c r="C14" s="32" t="str">
        <x:v>X</x:v>
      </x:c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2" t="str"/>
      <x:c r="U14" s="32" t="str"/>
      <x:c r="V14" s="32" t="str">
        <x:v>X</x:v>
      </x:c>
      <x:c r="W14" s="32" t="str">
        <x:v>X</x:v>
      </x:c>
      <x:c r="X14" s="32" t="str">
        <x:v>X</x:v>
      </x:c>
      <x:c r="Y14" s="32" t="str"/>
      <x:c r="Z14" s="32" t="str">
        <x:v>X</x:v>
      </x:c>
      <x:c r="AA14" s="32" t="str">
        <x:v>5</x:v>
      </x:c>
    </x:row>
    <x:row r="15"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</x:row>
    <x:row r="16"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</x:row>
    <x:row r="17"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</x:row>
    <x:row r="18"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</x:row>
    <x:row r="19"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</x:row>
    <x:row r="20"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</x:row>
    <x:row r="21"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</x:row>
    <x:row r="22"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</x:row>
    <x:row r="23"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</x:row>
    <x:row r="24"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</x:row>
    <x:row r="25"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  <x:c r="AA25" s="34"/>
    </x:row>
    <x:row r="26"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</x:row>
    <x:row r="27"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  <x:c r="AA27" s="34"/>
    </x:row>
    <x:row r="28"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  <x:c r="AA28" s="34"/>
    </x:row>
    <x:row r="29"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  <x:c r="AA29" s="34"/>
    </x:row>
    <x:row r="30"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  <x:c r="AA30" s="34"/>
    </x:row>
    <x:row r="31"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</x:row>
    <x:row r="32"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</x:row>
    <x:row r="33"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</x:row>
    <x:row r="34"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</x:row>
    <x:row r="35"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</x:row>
    <x:row r="36"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</x:row>
    <x:row r="37"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</x:row>
    <x:row r="38"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</x:row>
    <x:row r="39"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</x:row>
    <x:row r="40"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</x:row>
    <x:row r="41"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</x:row>
    <x:row r="42"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</x:row>
    <x:row r="43"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</x:row>
    <x:row r="44"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</x:row>
    <x:row r="45"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</x:row>
    <x:row r="46"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</x:row>
    <x:row r="47"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</x:row>
    <x:row r="48"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</x:row>
    <x:row r="49"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</x:row>
    <x:row r="50"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</x:row>
    <x:row r="51"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</x:row>
    <x:row r="52"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</x:row>
    <x:row r="53"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</x:row>
    <x:row r="54"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</x:row>
    <x:row r="55"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</x:row>
    <x:row r="56"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</x:row>
    <x:row r="57"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</x:row>
    <x:row r="58"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</x:row>
    <x:row r="59"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</x:row>
    <x:row r="60"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</x:row>
    <x:row r="61"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</x:row>
    <x:row r="62"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</x:row>
    <x:row r="63"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</x:row>
    <x:row r="64"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</x:row>
    <x:row r="65"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</x:row>
    <x:row r="66"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</x:row>
    <x:row r="67"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</x:row>
    <x:row r="68"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</x:row>
    <x:row r="69"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</x:row>
    <x:row r="70"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</x:row>
    <x:row r="71"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</x:row>
    <x:row r="72"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</x:row>
    <x:row r="73"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</x:row>
    <x:row r="74"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</x:row>
    <x:row r="75"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</x:row>
    <x:row r="76"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</x:row>
    <x:row r="77"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</x:row>
    <x:row r="78"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</x:row>
    <x:row r="79"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</x:row>
    <x:row r="80"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</x:row>
    <x:row r="81"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</x:row>
    <x:row r="82"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</x:row>
    <x:row r="83"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</x:row>
    <x:row r="84"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</x:row>
    <x:row r="85"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</x:row>
    <x:row r="86"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</x:row>
    <x:row r="87"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</x:row>
    <x:row r="88"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</x:row>
    <x:row r="89"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</x:row>
    <x:row r="90"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</x:row>
    <x:row r="91"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</x:row>
    <x:row r="92"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</x:row>
    <x:row r="93"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</x:row>
    <x:row r="94"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</x:row>
    <x:row r="95"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</x:row>
    <x:row r="96"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</x:row>
    <x:row r="97"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</x:row>
    <x:row r="98"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</x:row>
    <x:row r="99"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  <x:c r="AA99" s="34"/>
    </x:row>
    <x:row r="100"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  <x:c r="AA100" s="34"/>
    </x:row>
  </x:sheetData>
  <x:conditionalFormatting sqref="C5:AA100">
    <x:cfRule type="containsText" dxfId="5" priority="1" operator="containsText" text="X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2" hidden="0" customWidth="1"/>
    <x:col min="5" max="5" width="10" hidden="0" customWidth="1"/>
    <x:col min="6" max="6" width="42" hidden="0" customWidth="1"/>
    <x:col min="7" max="7" width="34" hidden="0" customWidth="1"/>
    <x:col min="8" max="8" width="42" hidden="0" customWidth="1"/>
    <x:col min="9" max="9" width="34" hidden="0" customWidth="1"/>
    <x:col min="10" max="10" width="12" hidden="0" customWidth="1"/>
    <x:col min="11" max="11" width="12" hidden="0" customWidth="1"/>
  </x:cols>
  <x:sheetData>
    <x:row r="1" ht="26" customHeight="1">
      <x:c r="A1" s="1" t="str">
        <x:v>Defect Log</x:v>
      </x:c>
    </x:row>
    <x:row r="2" ht="18" customHeight="1">
      <x:c r="A2" s="2" t="str">
        <x:v>Open and closed defects with retest evidence</x:v>
      </x:c>
    </x:row>
    <x:row r="4" ht="32" customHeight="1">
      <x:c r="A4" s="26" t="str">
        <x:v>Defect ID</x:v>
      </x:c>
      <x:c r="B4" s="26" t="str">
        <x:v>Date found</x:v>
      </x:c>
      <x:c r="C4" s="26" t="str">
        <x:v>Found in</x:v>
      </x:c>
      <x:c r="D4" s="26" t="str">
        <x:v>Test case</x:v>
      </x:c>
      <x:c r="E4" s="26" t="str">
        <x:v>Severity</x:v>
      </x:c>
      <x:c r="F4" s="26" t="str">
        <x:v>Description</x:v>
      </x:c>
      <x:c r="G4" s="26" t="str">
        <x:v>Root cause</x:v>
      </x:c>
      <x:c r="H4" s="26" t="str">
        <x:v>Fix</x:v>
      </x:c>
      <x:c r="I4" s="26" t="str">
        <x:v>Retest result</x:v>
      </x:c>
      <x:c r="J4" s="26" t="str">
        <x:v>Status</x:v>
      </x:c>
      <x:c r="K4" s="26" t="str">
        <x:v>Owner</x:v>
      </x:c>
    </x:row>
    <x:row r="5" ht="44" customHeight="1">
      <x:c r="A5" s="30" t="str">
        <x:v>DEF-01</x:v>
      </x:c>
      <x:c r="B5" s="30" t="str">
        <x:v>2026-10-17</x:v>
      </x:c>
      <x:c r="C5" s="30" t="str">
        <x:v>Sprint 2 edge-case review</x:v>
      </x:c>
      <x:c r="D5" s="30" t="str">
        <x:v>TC-13</x:v>
      </x:c>
      <x:c r="E5" s="30" t="str">
        <x:v>P1</x:v>
      </x:c>
      <x:c r="F5" s="30" t="str">
        <x:v>A special order or reservation with quantity 0 was accepted and converted to quantity 1.</x:v>
      </x:c>
      <x:c r="G5" s="30" t="str">
        <x:v>The API used a fallback that treated 0 as a missing value.</x:v>
      </x:c>
      <x:c r="H5" s="30" t="str">
        <x:v>Added a positive-integer validator and used it for special-order item quantity and reservation quantity. Added a regression test.</x:v>
      </x:c>
      <x:c r="I5" s="30" t="str">
        <x:v>TC-13 and the full automated suite pass after the fix.</x:v>
      </x:c>
      <x:c r="J5" s="30" t="str">
        <x:v>Closed</x:v>
      </x:c>
      <x:c r="K5" s="30" t="str">
        <x:v>李宁杰</x:v>
      </x:c>
    </x:row>
  </x:sheetData>
  <x:conditionalFormatting sqref="J5:J100">
    <x:cfRule type="containsText" dxfId="6" priority="1" operator="containsText" text="Closed"/>
    <x:cfRule type="containsText" dxfId="7" priority="2" operator="containsText" text="Open"/>
  </x:conditionalFormatting>
  <x:pageMargins left="0.7" right="0.7" top="0.75" bottom="0.75" header="0.3" footer="0.3"/>
</x:worksheet>
</file>